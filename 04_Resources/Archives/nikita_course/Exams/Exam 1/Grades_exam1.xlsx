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sharedStrings.xml" ContentType="application/vnd.openxmlformats-officedocument.spreadsheetml.sharedStrings+xml"/>
  <Default Extension="jpeg" ContentType="image/jpeg"/>
  <Default Extension="xml" ContentType="application/xml"/>
  <Override PartName="/xl/workbook.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calcChain.xml" ContentType="application/vnd.openxmlformats-officedocument.spreadsheetml.calcChain+xml"/>
  <Override PartName="/xl/worksheets/sheet2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20" yWindow="-20" windowWidth="21600" windowHeight="15320" tabRatio="500"/>
  </bookViews>
  <sheets>
    <sheet name="Sheet1" sheetId="1" r:id="rId1"/>
    <sheet name="Sheet2" sheetId="2" r:id="rId2"/>
  </sheets>
  <calcPr calcId="130407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S16" i="1"/>
  <c r="S18"/>
  <c r="R16"/>
  <c r="R18"/>
  <c r="Q16"/>
  <c r="Q18"/>
  <c r="C18"/>
  <c r="P16"/>
  <c r="P18"/>
  <c r="O16"/>
  <c r="O18"/>
  <c r="N16"/>
  <c r="N18"/>
  <c r="M16"/>
  <c r="M18"/>
  <c r="L16"/>
  <c r="L18"/>
  <c r="K16"/>
  <c r="K18"/>
  <c r="J16"/>
  <c r="J18"/>
  <c r="I16"/>
  <c r="I18"/>
  <c r="H16"/>
  <c r="H18"/>
  <c r="G16"/>
  <c r="G18"/>
  <c r="F16"/>
  <c r="F18"/>
  <c r="E16"/>
  <c r="E18"/>
  <c r="D16"/>
  <c r="D18"/>
  <c r="B16"/>
  <c r="B14" i="2"/>
  <c r="C14"/>
  <c r="E13"/>
  <c r="F13"/>
  <c r="C15"/>
  <c r="C16"/>
  <c r="C17"/>
  <c r="C18"/>
  <c r="C19"/>
  <c r="C20"/>
  <c r="C21"/>
  <c r="C22"/>
  <c r="C23"/>
</calcChain>
</file>

<file path=xl/sharedStrings.xml><?xml version="1.0" encoding="utf-8"?>
<sst xmlns="http://schemas.openxmlformats.org/spreadsheetml/2006/main" count="58" uniqueCount="47">
  <si>
    <t>Take out effectivity question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</si>
  <si>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</si>
  <si>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</si>
  <si>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</si>
  <si>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</si>
  <si>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B</t>
    <phoneticPr fontId="1" type="noConversion"/>
  </si>
  <si>
    <t>D</t>
    <phoneticPr fontId="1" type="noConversion"/>
  </si>
  <si>
    <t>A</t>
    <phoneticPr fontId="1" type="noConversion"/>
  </si>
  <si>
    <t>F</t>
    <phoneticPr fontId="1" type="noConversion"/>
  </si>
  <si>
    <t>C</t>
    <phoneticPr fontId="1" type="noConversion"/>
  </si>
  <si>
    <t>D</t>
    <phoneticPr fontId="1" type="noConversion"/>
  </si>
  <si>
    <t>F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</si>
  <si>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</si>
  <si>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</si>
  <si>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</si>
  <si>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</si>
  <si>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F</t>
    <phoneticPr fontId="1" type="noConversion"/>
  </si>
  <si>
    <t>Exam 1</t>
    <phoneticPr fontId="1" type="noConversion"/>
  </si>
  <si>
    <t>Exam 2</t>
    <phoneticPr fontId="1" type="noConversion"/>
  </si>
  <si>
    <t>Participation</t>
    <phoneticPr fontId="1" type="noConversion"/>
  </si>
  <si>
    <t>Writing</t>
    <phoneticPr fontId="1" type="noConversion"/>
  </si>
  <si>
    <t>Presentation</t>
    <phoneticPr fontId="1" type="noConversion"/>
  </si>
  <si>
    <t>Maximum score</t>
    <phoneticPr fontId="1" type="noConversion"/>
  </si>
  <si>
    <t>Score</t>
    <phoneticPr fontId="1" type="noConversion"/>
  </si>
  <si>
    <t>Your score</t>
    <phoneticPr fontId="1" type="noConversion"/>
  </si>
  <si>
    <t>Class Score/Grade</t>
    <phoneticPr fontId="1" type="noConversion"/>
  </si>
  <si>
    <t>Research</t>
    <phoneticPr fontId="1" type="noConversion"/>
  </si>
  <si>
    <t>Student 1</t>
    <phoneticPr fontId="1" type="noConversion"/>
  </si>
  <si>
    <t>Student 2</t>
    <phoneticPr fontId="1" type="noConversion"/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</si>
  <si>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</si>
  <si>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</si>
  <si>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</si>
  <si>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</si>
  <si>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</si>
  <si>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</si>
  <si>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</si>
  <si>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</si>
  <si>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</si>
  <si>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</si>
  <si>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</si>
  <si>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</si>
  <si>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</si>
  <si>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</si>
  <si>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</si>
  <si>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Ideal</t>
    <phoneticPr fontId="1" type="noConversion"/>
  </si>
  <si>
    <t>Question</t>
    <phoneticPr fontId="1" type="noConversion"/>
  </si>
  <si>
    <t>It was confusing</t>
    <phoneticPr fontId="1" type="noConversion"/>
  </si>
</sst>
</file>

<file path=xl/styles.xml><?xml version="1.0" encoding="utf-8"?>
<styleSheet xmlns="http://schemas.openxmlformats.org/spreadsheetml/2006/main">
  <fonts count="2">
    <font>
      <sz val="10"/>
      <name val="Verdana"/>
    </font>
    <font>
      <sz val="8"/>
      <name val="Verdana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0" fillId="3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S27"/>
  <sheetViews>
    <sheetView tabSelected="1" workbookViewId="0">
      <selection activeCell="A28" sqref="A28"/>
    </sheetView>
  </sheetViews>
  <sheetFormatPr baseColWidth="10" defaultRowHeight="13"/>
  <cols>
    <col min="1" max="1" width="4.42578125" customWidth="1"/>
    <col min="2" max="2" width="3.85546875" customWidth="1"/>
    <col min="3" max="17" width="5.28515625" customWidth="1"/>
    <col min="18" max="18" width="6.5703125" customWidth="1"/>
    <col min="19" max="19" width="5.28515625" customWidth="1"/>
  </cols>
  <sheetData>
    <row r="1" spans="1:19">
      <c r="A1" t="s">
        <v>45</v>
      </c>
      <c r="B1" t="s">
        <v>44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</row>
    <row r="2" spans="1:19">
      <c r="A2">
        <v>1</v>
      </c>
      <c r="B2">
        <v>4</v>
      </c>
      <c r="D2">
        <v>4</v>
      </c>
      <c r="E2">
        <v>4</v>
      </c>
      <c r="F2">
        <v>4</v>
      </c>
      <c r="G2">
        <v>1</v>
      </c>
      <c r="H2">
        <v>4</v>
      </c>
      <c r="I2">
        <v>4</v>
      </c>
      <c r="J2">
        <v>4</v>
      </c>
      <c r="K2">
        <v>4</v>
      </c>
      <c r="L2">
        <v>4</v>
      </c>
      <c r="M2">
        <v>4</v>
      </c>
      <c r="N2">
        <v>4</v>
      </c>
      <c r="O2">
        <v>3</v>
      </c>
      <c r="P2">
        <v>4</v>
      </c>
      <c r="Q2">
        <v>4</v>
      </c>
      <c r="R2">
        <v>4</v>
      </c>
      <c r="S2">
        <v>4</v>
      </c>
    </row>
    <row r="3" spans="1:19">
      <c r="A3">
        <v>2</v>
      </c>
      <c r="B3">
        <v>4</v>
      </c>
      <c r="D3">
        <v>0</v>
      </c>
      <c r="E3">
        <v>0</v>
      </c>
      <c r="F3">
        <v>4</v>
      </c>
      <c r="G3">
        <v>0</v>
      </c>
      <c r="H3">
        <v>0</v>
      </c>
      <c r="I3">
        <v>4</v>
      </c>
      <c r="J3">
        <v>0</v>
      </c>
      <c r="K3">
        <v>4</v>
      </c>
      <c r="L3">
        <v>0</v>
      </c>
      <c r="M3">
        <v>2</v>
      </c>
      <c r="N3">
        <v>0</v>
      </c>
      <c r="O3">
        <v>4</v>
      </c>
      <c r="P3">
        <v>4</v>
      </c>
      <c r="Q3">
        <v>2</v>
      </c>
      <c r="R3">
        <v>0</v>
      </c>
      <c r="S3">
        <v>4</v>
      </c>
    </row>
    <row r="4" spans="1:19">
      <c r="A4">
        <v>3</v>
      </c>
      <c r="B4">
        <v>6</v>
      </c>
      <c r="D4">
        <v>3</v>
      </c>
      <c r="E4">
        <v>6</v>
      </c>
      <c r="F4">
        <v>6</v>
      </c>
      <c r="G4">
        <v>6</v>
      </c>
      <c r="H4">
        <v>0</v>
      </c>
      <c r="I4">
        <v>6</v>
      </c>
      <c r="J4">
        <v>6</v>
      </c>
      <c r="K4">
        <v>6</v>
      </c>
      <c r="L4">
        <v>6</v>
      </c>
      <c r="M4">
        <v>2</v>
      </c>
      <c r="N4">
        <v>1</v>
      </c>
      <c r="O4">
        <v>6</v>
      </c>
      <c r="P4">
        <v>6</v>
      </c>
      <c r="Q4">
        <v>6</v>
      </c>
      <c r="R4">
        <v>6</v>
      </c>
      <c r="S4">
        <v>6</v>
      </c>
    </row>
    <row r="5" spans="1:19">
      <c r="A5">
        <v>4</v>
      </c>
      <c r="B5">
        <v>4</v>
      </c>
      <c r="D5">
        <v>0</v>
      </c>
      <c r="E5">
        <v>3.5</v>
      </c>
      <c r="F5">
        <v>4</v>
      </c>
      <c r="G5">
        <v>2</v>
      </c>
      <c r="H5">
        <v>4</v>
      </c>
      <c r="I5">
        <v>3</v>
      </c>
      <c r="J5">
        <v>0</v>
      </c>
      <c r="K5">
        <v>4</v>
      </c>
      <c r="L5">
        <v>4</v>
      </c>
      <c r="M5">
        <v>4</v>
      </c>
      <c r="N5">
        <v>2</v>
      </c>
      <c r="O5">
        <v>2</v>
      </c>
      <c r="P5">
        <v>4</v>
      </c>
      <c r="Q5">
        <v>2</v>
      </c>
      <c r="R5">
        <v>0</v>
      </c>
      <c r="S5">
        <v>4</v>
      </c>
    </row>
    <row r="6" spans="1:19">
      <c r="A6">
        <v>5</v>
      </c>
      <c r="B6">
        <v>6</v>
      </c>
      <c r="D6">
        <v>5</v>
      </c>
      <c r="E6">
        <v>2</v>
      </c>
      <c r="F6">
        <v>6</v>
      </c>
      <c r="G6">
        <v>0</v>
      </c>
      <c r="H6">
        <v>3</v>
      </c>
      <c r="I6">
        <v>0</v>
      </c>
      <c r="J6">
        <v>6</v>
      </c>
      <c r="K6">
        <v>4</v>
      </c>
      <c r="L6">
        <v>4</v>
      </c>
      <c r="M6">
        <v>3</v>
      </c>
      <c r="N6">
        <v>0</v>
      </c>
      <c r="O6">
        <v>0</v>
      </c>
      <c r="P6">
        <v>0</v>
      </c>
      <c r="Q6">
        <v>6</v>
      </c>
      <c r="R6">
        <v>3</v>
      </c>
      <c r="S6">
        <v>6</v>
      </c>
    </row>
    <row r="7" spans="1:19">
      <c r="A7">
        <v>6</v>
      </c>
      <c r="B7">
        <v>6</v>
      </c>
      <c r="D7">
        <v>0</v>
      </c>
      <c r="E7">
        <v>6</v>
      </c>
      <c r="F7">
        <v>6</v>
      </c>
      <c r="G7">
        <v>0</v>
      </c>
      <c r="H7">
        <v>3</v>
      </c>
      <c r="I7">
        <v>0</v>
      </c>
      <c r="J7">
        <v>6</v>
      </c>
      <c r="K7">
        <v>6</v>
      </c>
      <c r="L7">
        <v>6</v>
      </c>
      <c r="M7">
        <v>6</v>
      </c>
      <c r="N7">
        <v>0</v>
      </c>
      <c r="O7">
        <v>0</v>
      </c>
      <c r="P7">
        <v>5</v>
      </c>
      <c r="Q7">
        <v>6</v>
      </c>
      <c r="R7">
        <v>1</v>
      </c>
      <c r="S7">
        <v>6</v>
      </c>
    </row>
    <row r="8" spans="1:19">
      <c r="A8">
        <v>7</v>
      </c>
      <c r="B8">
        <v>5</v>
      </c>
      <c r="D8">
        <v>2.5</v>
      </c>
      <c r="E8">
        <v>2.5</v>
      </c>
      <c r="F8">
        <v>5</v>
      </c>
      <c r="G8">
        <v>2.5</v>
      </c>
      <c r="H8">
        <v>2.5</v>
      </c>
      <c r="I8">
        <v>5</v>
      </c>
      <c r="J8">
        <v>5</v>
      </c>
      <c r="K8">
        <v>4</v>
      </c>
      <c r="L8">
        <v>5</v>
      </c>
      <c r="M8">
        <v>5</v>
      </c>
      <c r="N8">
        <v>0</v>
      </c>
      <c r="O8">
        <v>2.5</v>
      </c>
      <c r="P8">
        <v>2.5</v>
      </c>
      <c r="Q8">
        <v>5</v>
      </c>
      <c r="R8">
        <v>5</v>
      </c>
      <c r="S8">
        <v>5</v>
      </c>
    </row>
    <row r="9" spans="1:19">
      <c r="A9">
        <v>8</v>
      </c>
      <c r="B9">
        <v>5</v>
      </c>
      <c r="D9">
        <v>2</v>
      </c>
      <c r="E9">
        <v>5</v>
      </c>
      <c r="F9">
        <v>5</v>
      </c>
      <c r="G9">
        <v>2</v>
      </c>
      <c r="H9">
        <v>0</v>
      </c>
      <c r="I9">
        <v>5</v>
      </c>
      <c r="J9">
        <v>5</v>
      </c>
      <c r="K9">
        <v>5</v>
      </c>
      <c r="L9">
        <v>5</v>
      </c>
      <c r="M9">
        <v>5</v>
      </c>
      <c r="N9">
        <v>2.5</v>
      </c>
      <c r="O9">
        <v>1</v>
      </c>
      <c r="P9">
        <v>5</v>
      </c>
      <c r="Q9">
        <v>5</v>
      </c>
      <c r="R9">
        <v>5</v>
      </c>
      <c r="S9">
        <v>5</v>
      </c>
    </row>
    <row r="10" spans="1:19">
      <c r="A10">
        <v>9</v>
      </c>
      <c r="B10">
        <v>6</v>
      </c>
      <c r="D10">
        <v>4</v>
      </c>
      <c r="E10">
        <v>6</v>
      </c>
      <c r="F10">
        <v>6</v>
      </c>
      <c r="G10">
        <v>6</v>
      </c>
      <c r="H10">
        <v>4</v>
      </c>
      <c r="I10">
        <v>5</v>
      </c>
      <c r="J10">
        <v>6</v>
      </c>
      <c r="K10">
        <v>5</v>
      </c>
      <c r="L10">
        <v>3</v>
      </c>
      <c r="M10">
        <v>6</v>
      </c>
      <c r="N10">
        <v>2</v>
      </c>
      <c r="O10">
        <v>2</v>
      </c>
      <c r="P10">
        <v>6</v>
      </c>
      <c r="Q10">
        <v>6</v>
      </c>
      <c r="R10">
        <v>6</v>
      </c>
      <c r="S10">
        <v>6</v>
      </c>
    </row>
    <row r="11" spans="1:19">
      <c r="A11">
        <v>10</v>
      </c>
      <c r="B11">
        <v>5</v>
      </c>
      <c r="D11">
        <v>5</v>
      </c>
      <c r="E11">
        <v>5</v>
      </c>
      <c r="F11">
        <v>5</v>
      </c>
      <c r="G11">
        <v>5</v>
      </c>
      <c r="H11">
        <v>5</v>
      </c>
      <c r="I11">
        <v>5</v>
      </c>
      <c r="J11">
        <v>5</v>
      </c>
      <c r="K11">
        <v>5</v>
      </c>
      <c r="L11">
        <v>5</v>
      </c>
      <c r="M11">
        <v>5</v>
      </c>
      <c r="N11">
        <v>5</v>
      </c>
      <c r="O11">
        <v>5</v>
      </c>
      <c r="P11">
        <v>5</v>
      </c>
      <c r="Q11">
        <v>5</v>
      </c>
      <c r="R11">
        <v>0</v>
      </c>
      <c r="S11">
        <v>5</v>
      </c>
    </row>
    <row r="12" spans="1:19">
      <c r="A12">
        <v>11</v>
      </c>
      <c r="B12">
        <v>4</v>
      </c>
      <c r="D12">
        <v>3</v>
      </c>
      <c r="E12">
        <v>4</v>
      </c>
      <c r="F12">
        <v>4</v>
      </c>
      <c r="G12">
        <v>4</v>
      </c>
      <c r="H12">
        <v>4</v>
      </c>
      <c r="I12">
        <v>4</v>
      </c>
      <c r="J12">
        <v>4</v>
      </c>
      <c r="K12">
        <v>4</v>
      </c>
      <c r="L12">
        <v>4</v>
      </c>
      <c r="M12">
        <v>4</v>
      </c>
      <c r="N12">
        <v>4</v>
      </c>
      <c r="O12">
        <v>0</v>
      </c>
      <c r="P12">
        <v>4</v>
      </c>
      <c r="Q12">
        <v>4</v>
      </c>
      <c r="R12">
        <v>4</v>
      </c>
      <c r="S12">
        <v>4</v>
      </c>
    </row>
    <row r="13" spans="1:19">
      <c r="A13">
        <v>12</v>
      </c>
      <c r="B13">
        <v>5</v>
      </c>
      <c r="D13">
        <v>5</v>
      </c>
      <c r="E13">
        <v>5</v>
      </c>
      <c r="F13">
        <v>5</v>
      </c>
      <c r="G13">
        <v>5</v>
      </c>
      <c r="H13">
        <v>3</v>
      </c>
      <c r="I13">
        <v>3</v>
      </c>
      <c r="J13">
        <v>4</v>
      </c>
      <c r="K13">
        <v>5</v>
      </c>
      <c r="L13">
        <v>1</v>
      </c>
      <c r="M13">
        <v>3</v>
      </c>
      <c r="N13">
        <v>1</v>
      </c>
      <c r="O13">
        <v>4</v>
      </c>
      <c r="P13">
        <v>5</v>
      </c>
      <c r="Q13">
        <v>4</v>
      </c>
      <c r="R13">
        <v>5</v>
      </c>
      <c r="S13">
        <v>5</v>
      </c>
    </row>
    <row r="14" spans="1:19">
      <c r="A14">
        <v>13</v>
      </c>
      <c r="B14">
        <v>15</v>
      </c>
      <c r="D14">
        <v>15</v>
      </c>
      <c r="E14">
        <v>10</v>
      </c>
      <c r="F14">
        <v>13</v>
      </c>
      <c r="G14">
        <v>10</v>
      </c>
      <c r="H14">
        <v>13</v>
      </c>
      <c r="I14">
        <v>15</v>
      </c>
      <c r="J14">
        <v>15</v>
      </c>
      <c r="K14">
        <v>15</v>
      </c>
      <c r="L14">
        <v>15</v>
      </c>
      <c r="M14">
        <v>10</v>
      </c>
      <c r="N14">
        <v>14</v>
      </c>
      <c r="O14">
        <v>10</v>
      </c>
      <c r="P14">
        <v>15</v>
      </c>
      <c r="Q14">
        <v>15</v>
      </c>
      <c r="R14">
        <v>13</v>
      </c>
      <c r="S14">
        <v>13</v>
      </c>
    </row>
    <row r="16" spans="1:19">
      <c r="B16">
        <f>SUM(B2:B14)</f>
        <v>75</v>
      </c>
      <c r="C16">
        <v>2.5</v>
      </c>
      <c r="D16">
        <f t="shared" ref="D16:S16" si="0">SUM(D2:D14)</f>
        <v>48.5</v>
      </c>
      <c r="E16">
        <f t="shared" si="0"/>
        <v>59</v>
      </c>
      <c r="F16">
        <f t="shared" si="0"/>
        <v>73</v>
      </c>
      <c r="G16">
        <f t="shared" si="0"/>
        <v>43.5</v>
      </c>
      <c r="H16">
        <f t="shared" si="0"/>
        <v>45.5</v>
      </c>
      <c r="I16">
        <f t="shared" si="0"/>
        <v>59</v>
      </c>
      <c r="J16">
        <f t="shared" si="0"/>
        <v>66</v>
      </c>
      <c r="K16">
        <f t="shared" si="0"/>
        <v>71</v>
      </c>
      <c r="L16">
        <f t="shared" si="0"/>
        <v>62</v>
      </c>
      <c r="M16">
        <f t="shared" si="0"/>
        <v>59</v>
      </c>
      <c r="N16">
        <f t="shared" si="0"/>
        <v>35.5</v>
      </c>
      <c r="O16">
        <f t="shared" si="0"/>
        <v>39.5</v>
      </c>
      <c r="P16">
        <f t="shared" si="0"/>
        <v>65.5</v>
      </c>
      <c r="Q16">
        <f t="shared" si="0"/>
        <v>70</v>
      </c>
      <c r="R16">
        <f t="shared" si="0"/>
        <v>52</v>
      </c>
      <c r="S16">
        <f t="shared" si="0"/>
        <v>73</v>
      </c>
    </row>
    <row r="18" spans="1:19">
      <c r="C18">
        <f t="shared" ref="C18:S18" si="1">C16/71*100</f>
        <v>3.5211267605633805</v>
      </c>
      <c r="D18">
        <f t="shared" si="1"/>
        <v>68.309859154929569</v>
      </c>
      <c r="E18">
        <f t="shared" si="1"/>
        <v>83.098591549295776</v>
      </c>
      <c r="F18">
        <f t="shared" si="1"/>
        <v>102.8169014084507</v>
      </c>
      <c r="G18">
        <f t="shared" si="1"/>
        <v>61.267605633802816</v>
      </c>
      <c r="H18">
        <f t="shared" si="1"/>
        <v>64.08450704225352</v>
      </c>
      <c r="I18">
        <f t="shared" si="1"/>
        <v>83.098591549295776</v>
      </c>
      <c r="J18">
        <f t="shared" si="1"/>
        <v>92.957746478873233</v>
      </c>
      <c r="K18">
        <f t="shared" si="1"/>
        <v>100</v>
      </c>
      <c r="L18">
        <f t="shared" si="1"/>
        <v>87.323943661971825</v>
      </c>
      <c r="M18">
        <f t="shared" si="1"/>
        <v>83.098591549295776</v>
      </c>
      <c r="N18">
        <f t="shared" si="1"/>
        <v>50</v>
      </c>
      <c r="O18">
        <f t="shared" si="1"/>
        <v>55.633802816901415</v>
      </c>
      <c r="P18">
        <f t="shared" si="1"/>
        <v>92.25352112676056</v>
      </c>
      <c r="Q18">
        <f t="shared" si="1"/>
        <v>98.591549295774655</v>
      </c>
      <c r="R18">
        <f t="shared" si="1"/>
        <v>73.239436619718319</v>
      </c>
      <c r="S18">
        <f t="shared" si="1"/>
        <v>102.8169014084507</v>
      </c>
    </row>
    <row r="19" spans="1:19">
      <c r="C19" t="s">
        <v>8</v>
      </c>
      <c r="D19" t="s">
        <v>6</v>
      </c>
      <c r="E19" t="s">
        <v>2</v>
      </c>
      <c r="F19" t="s">
        <v>1</v>
      </c>
      <c r="G19" t="s">
        <v>4</v>
      </c>
      <c r="H19" t="s">
        <v>4</v>
      </c>
      <c r="I19" t="s">
        <v>5</v>
      </c>
      <c r="J19" t="s">
        <v>1</v>
      </c>
      <c r="K19" t="s">
        <v>7</v>
      </c>
      <c r="L19" t="s">
        <v>2</v>
      </c>
      <c r="M19" t="s">
        <v>2</v>
      </c>
      <c r="N19" t="s">
        <v>8</v>
      </c>
      <c r="O19" t="s">
        <v>8</v>
      </c>
      <c r="P19" t="s">
        <v>7</v>
      </c>
      <c r="Q19" t="s">
        <v>1</v>
      </c>
      <c r="R19" t="s">
        <v>3</v>
      </c>
      <c r="S19" t="s">
        <v>1</v>
      </c>
    </row>
    <row r="21" spans="1:19">
      <c r="B21">
        <v>2.5</v>
      </c>
    </row>
    <row r="22" spans="1:19">
      <c r="H22" t="s">
        <v>1</v>
      </c>
      <c r="I22">
        <v>6</v>
      </c>
    </row>
    <row r="23" spans="1:19">
      <c r="H23" t="s">
        <v>2</v>
      </c>
      <c r="I23">
        <v>4</v>
      </c>
    </row>
    <row r="24" spans="1:19">
      <c r="H24" t="s">
        <v>9</v>
      </c>
      <c r="I24">
        <v>1</v>
      </c>
    </row>
    <row r="25" spans="1:19">
      <c r="H25" t="s">
        <v>10</v>
      </c>
      <c r="I25">
        <v>3</v>
      </c>
    </row>
    <row r="26" spans="1:19">
      <c r="A26" t="s">
        <v>0</v>
      </c>
      <c r="H26" t="s">
        <v>11</v>
      </c>
      <c r="I26">
        <v>3</v>
      </c>
    </row>
    <row r="27" spans="1:19">
      <c r="A27" t="s">
        <v>46</v>
      </c>
    </row>
  </sheetData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F23"/>
  <sheetViews>
    <sheetView view="pageLayout" workbookViewId="0">
      <selection activeCell="A2" sqref="A2"/>
    </sheetView>
  </sheetViews>
  <sheetFormatPr baseColWidth="10" defaultRowHeight="13"/>
  <cols>
    <col min="3" max="3" width="9.28515625" customWidth="1"/>
  </cols>
  <sheetData>
    <row r="1" spans="1:6">
      <c r="B1" t="s">
        <v>23</v>
      </c>
      <c r="C1" t="s">
        <v>22</v>
      </c>
    </row>
    <row r="2" spans="1:6">
      <c r="A2" t="s">
        <v>17</v>
      </c>
      <c r="B2">
        <v>71</v>
      </c>
      <c r="C2">
        <v>71</v>
      </c>
    </row>
    <row r="3" spans="1:6">
      <c r="A3" t="s">
        <v>18</v>
      </c>
      <c r="C3">
        <v>75</v>
      </c>
    </row>
    <row r="5" spans="1:6">
      <c r="A5" t="s">
        <v>19</v>
      </c>
      <c r="B5">
        <v>20</v>
      </c>
      <c r="C5">
        <v>20</v>
      </c>
    </row>
    <row r="7" spans="1:6">
      <c r="A7" t="s">
        <v>26</v>
      </c>
      <c r="B7">
        <v>20</v>
      </c>
      <c r="C7">
        <v>20</v>
      </c>
    </row>
    <row r="9" spans="1:6">
      <c r="A9" t="s">
        <v>20</v>
      </c>
      <c r="B9">
        <v>30</v>
      </c>
      <c r="C9">
        <v>30</v>
      </c>
    </row>
    <row r="11" spans="1:6">
      <c r="A11" t="s">
        <v>21</v>
      </c>
      <c r="B11">
        <v>20</v>
      </c>
      <c r="C11">
        <v>20</v>
      </c>
    </row>
    <row r="12" spans="1:6">
      <c r="E12" s="1">
        <v>0.01</v>
      </c>
      <c r="F12" s="1">
        <v>0.1</v>
      </c>
    </row>
    <row r="13" spans="1:6">
      <c r="B13" t="s">
        <v>24</v>
      </c>
      <c r="C13" t="s">
        <v>25</v>
      </c>
      <c r="E13">
        <f>C14/100</f>
        <v>0.47499999999999998</v>
      </c>
      <c r="F13">
        <f>E13*10</f>
        <v>4.75</v>
      </c>
    </row>
    <row r="14" spans="1:6">
      <c r="B14">
        <f>B2*0.25+B3*0.25+B5*0.1+B7*0.1+B9*0.1+B11*0.2</f>
        <v>28.75</v>
      </c>
      <c r="C14" s="2">
        <f>C2*0.25+C3*0.25+C5*0.1+C7*0.1+C9*0.1+C11*0.2</f>
        <v>47.5</v>
      </c>
      <c r="D14" s="2" t="s">
        <v>12</v>
      </c>
    </row>
    <row r="15" spans="1:6">
      <c r="C15" s="2">
        <f>C14-F13</f>
        <v>42.75</v>
      </c>
      <c r="D15" s="2"/>
    </row>
    <row r="16" spans="1:6">
      <c r="C16" s="3">
        <f t="shared" ref="C16:C23" si="0">C15-$F$13</f>
        <v>38</v>
      </c>
      <c r="D16" s="3" t="s">
        <v>13</v>
      </c>
    </row>
    <row r="17" spans="3:4">
      <c r="C17" s="3">
        <f t="shared" si="0"/>
        <v>33.25</v>
      </c>
      <c r="D17" s="3"/>
    </row>
    <row r="18" spans="3:4">
      <c r="C18" s="2">
        <f t="shared" si="0"/>
        <v>28.5</v>
      </c>
      <c r="D18" s="2" t="s">
        <v>14</v>
      </c>
    </row>
    <row r="19" spans="3:4">
      <c r="C19" s="2">
        <f t="shared" si="0"/>
        <v>23.75</v>
      </c>
      <c r="D19" s="2"/>
    </row>
    <row r="20" spans="3:4">
      <c r="C20" s="3">
        <f t="shared" si="0"/>
        <v>19</v>
      </c>
      <c r="D20" s="3" t="s">
        <v>15</v>
      </c>
    </row>
    <row r="21" spans="3:4">
      <c r="C21" s="3">
        <f t="shared" si="0"/>
        <v>14.25</v>
      </c>
      <c r="D21" s="3"/>
    </row>
    <row r="22" spans="3:4">
      <c r="C22" s="2">
        <f t="shared" si="0"/>
        <v>9.5</v>
      </c>
      <c r="D22" s="2" t="s">
        <v>16</v>
      </c>
    </row>
    <row r="23" spans="3:4">
      <c r="C23" s="2">
        <f t="shared" si="0"/>
        <v>4.75</v>
      </c>
      <c r="D23" s="2"/>
    </row>
  </sheetData>
  <phoneticPr fontId="1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University of Cincinnati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Kuznetsov</dc:creator>
  <cp:lastModifiedBy>Nikita Kuznetsov</cp:lastModifiedBy>
  <dcterms:created xsi:type="dcterms:W3CDTF">2012-10-21T16:26:40Z</dcterms:created>
  <dcterms:modified xsi:type="dcterms:W3CDTF">2015-09-12T19:27:42Z</dcterms:modified>
</cp:coreProperties>
</file>